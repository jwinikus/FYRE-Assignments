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Chart1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<sst xmlns="http://schemas.openxmlformats.org/spreadsheetml/2006/main" count="26" uniqueCount="13">
  <si>
    <t>Condition</t>
  </si>
  <si>
    <t>Measured</t>
  </si>
  <si>
    <t>Sampled with ADC</t>
  </si>
  <si>
    <t>Average</t>
  </si>
  <si>
    <t>Std. Dev.</t>
  </si>
  <si>
    <t>Completely Dry</t>
  </si>
  <si>
    <t>Sample 1 (V)</t>
  </si>
  <si>
    <t>Sample 2 (V)</t>
  </si>
  <si>
    <t>Sample 3 (V)</t>
  </si>
  <si>
    <t>Blowing on it</t>
  </si>
  <si>
    <t>Half wiped down with the wet wipe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</si>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</sst>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Measured/Average, Measured/Std. Dev., Sampled with ADC/Average and Sampled with ADC/Std. Dev.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Manual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Automated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233163"/>
        <c:axId val="55664911"/>
      </c:scatterChart>
      <c:valAx>
        <c:axId val="15282331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64911"/>
      </c:valAx>
      <c:valAx>
        <c:axId val="55664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233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2" t="s">
        <v>3</v>
      </c>
      <c r="C2" s="2" t="s">
        <v>4</v>
      </c>
      <c r="D2" s="2" t="s">
        <v>3</v>
      </c>
      <c r="E2" s="2" t="s">
        <v>4</v>
      </c>
    </row>
    <row r="3">
      <c r="A3" s="2" t="s">
        <v>5</v>
      </c>
      <c r="B3" s="4">
        <f>average('Manual Data'!B2:D2)</f>
        <v>3.292</v>
      </c>
      <c r="C3" s="4">
        <f>stdev('Manual Data'!B2:D2)</f>
        <v>0.001</v>
      </c>
      <c r="D3" s="4">
        <f>average('Automated Data'!B1:K1)</f>
        <v>3.0001</v>
      </c>
      <c r="E3" s="4">
        <f>STDEV('Automated Data'!B1:K1)</f>
        <v>0.3007407337</v>
      </c>
    </row>
    <row r="4">
      <c r="A4" s="2" t="s">
        <v>9</v>
      </c>
      <c r="B4" s="4">
        <f>average('Manual Data'!B3:D3)</f>
        <v>3.287</v>
      </c>
      <c r="C4" s="4">
        <f>stdev('Manual Data'!B3:D3)</f>
        <v>0</v>
      </c>
      <c r="D4" s="4">
        <f>average('Automated Data'!B2:K2)</f>
        <v>3.0001</v>
      </c>
      <c r="E4" s="4">
        <f>STDEV('Automated Data'!B2:K2)</f>
        <v>0.3007407337</v>
      </c>
    </row>
    <row r="5">
      <c r="A5" s="2" t="s">
        <v>10</v>
      </c>
      <c r="B5" s="4">
        <f>average('Manual Data'!B4:D4)</f>
        <v>3.106666667</v>
      </c>
      <c r="C5" s="4">
        <f>stdev('Manual Data'!B4:D4)</f>
        <v>0.01154700538</v>
      </c>
      <c r="D5" s="4">
        <f>average('Automated Data'!B3:K3)</f>
        <v>3.0001</v>
      </c>
      <c r="E5" s="4">
        <f>STDEV('Automated Data'!B3:K3)</f>
        <v>0.3007407337</v>
      </c>
    </row>
    <row r="6">
      <c r="A6" s="2" t="s">
        <v>11</v>
      </c>
      <c r="B6" s="4">
        <f>average('Manual Data'!B5:D5)</f>
        <v>3.789333333</v>
      </c>
      <c r="C6" s="4">
        <f>stdev('Manual Data'!B5:D5)</f>
        <v>0.0005773502692</v>
      </c>
      <c r="D6" s="4">
        <f>average('Automated Data'!B4:K4)</f>
        <v>3.0001</v>
      </c>
      <c r="E6" s="4">
        <f>STDEV('Automated Data'!B4:K4)</f>
        <v>0.3007407337</v>
      </c>
    </row>
    <row r="7">
      <c r="A7" s="2" t="s">
        <v>12</v>
      </c>
      <c r="B7" s="4">
        <f>average('Manual Data'!B6:D6)</f>
        <v>1.561666667</v>
      </c>
      <c r="C7" s="4">
        <f>stdev('Manual Data'!B6:D6)</f>
        <v>0.002886751346</v>
      </c>
      <c r="D7" s="4">
        <f>average('Automated Data'!B5:K5)</f>
        <v>2.8582</v>
      </c>
      <c r="E7" s="4">
        <f>STDEV('Automated Data'!B5:K5)</f>
        <v>0.368977205</v>
      </c>
    </row>
  </sheetData>
  <mergeCells count="3">
    <mergeCell ref="A1:A2"/>
    <mergeCell ref="B1:C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</v>
      </c>
      <c r="C1" s="2" t="s">
        <v>7</v>
      </c>
      <c r="D1" s="2" t="s">
        <v>8</v>
      </c>
    </row>
    <row r="2">
      <c r="A2" s="2" t="s">
        <v>5</v>
      </c>
      <c r="B2" s="2">
        <v>3.292</v>
      </c>
      <c r="C2" s="2">
        <v>3.293</v>
      </c>
      <c r="D2" s="2">
        <v>3.291</v>
      </c>
    </row>
    <row r="3">
      <c r="A3" s="2" t="s">
        <v>9</v>
      </c>
      <c r="B3" s="2">
        <v>3.287</v>
      </c>
      <c r="C3" s="2">
        <v>3.287</v>
      </c>
      <c r="D3" s="2">
        <v>3.287</v>
      </c>
    </row>
    <row r="4">
      <c r="A4" s="2" t="s">
        <v>10</v>
      </c>
      <c r="B4" s="2">
        <v>3.1</v>
      </c>
      <c r="C4" s="2">
        <v>3.12</v>
      </c>
      <c r="D4" s="2">
        <v>3.1</v>
      </c>
    </row>
    <row r="5">
      <c r="A5" s="2" t="s">
        <v>11</v>
      </c>
      <c r="B5" s="2">
        <v>3.789</v>
      </c>
      <c r="C5" s="2">
        <v>3.789</v>
      </c>
      <c r="D5" s="2">
        <v>3.79</v>
      </c>
    </row>
    <row r="6">
      <c r="A6" s="2" t="s">
        <v>12</v>
      </c>
      <c r="B6" s="2">
        <v>1.56</v>
      </c>
      <c r="C6" s="2">
        <v>1.565</v>
      </c>
      <c r="D6" s="2">
        <v>1.56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3">
        <v>3.142</v>
      </c>
      <c r="C1" s="3">
        <v>3.142</v>
      </c>
      <c r="D1" s="3">
        <v>3.142</v>
      </c>
      <c r="E1" s="3">
        <v>3.142</v>
      </c>
      <c r="F1" s="3">
        <v>2.498</v>
      </c>
      <c r="G1" s="3">
        <v>2.367</v>
      </c>
      <c r="H1" s="3">
        <v>3.142</v>
      </c>
      <c r="I1" s="3">
        <v>3.142</v>
      </c>
      <c r="J1" s="3">
        <v>3.142</v>
      </c>
      <c r="K1" s="3">
        <v>3.142</v>
      </c>
    </row>
    <row r="2">
      <c r="A2" s="2" t="s">
        <v>9</v>
      </c>
      <c r="B2" s="3">
        <v>3.142</v>
      </c>
      <c r="C2" s="3">
        <v>3.142</v>
      </c>
      <c r="D2" s="3">
        <v>3.142</v>
      </c>
      <c r="E2" s="3">
        <v>3.142</v>
      </c>
      <c r="F2" s="3">
        <v>2.498</v>
      </c>
      <c r="G2" s="3">
        <v>2.367</v>
      </c>
      <c r="H2" s="3">
        <v>3.142</v>
      </c>
      <c r="I2" s="3">
        <v>3.142</v>
      </c>
      <c r="J2" s="3">
        <v>3.142</v>
      </c>
      <c r="K2" s="3">
        <v>3.142</v>
      </c>
    </row>
    <row r="3">
      <c r="A3" s="2" t="s">
        <v>10</v>
      </c>
      <c r="B3" s="3">
        <v>3.142</v>
      </c>
      <c r="C3" s="3">
        <v>3.142</v>
      </c>
      <c r="D3" s="3">
        <v>3.142</v>
      </c>
      <c r="E3" s="3">
        <v>3.142</v>
      </c>
      <c r="F3" s="3">
        <v>2.498</v>
      </c>
      <c r="G3" s="3">
        <v>2.367</v>
      </c>
      <c r="H3" s="3">
        <v>3.142</v>
      </c>
      <c r="I3" s="3">
        <v>3.142</v>
      </c>
      <c r="J3" s="3">
        <v>3.142</v>
      </c>
      <c r="K3" s="3">
        <v>3.142</v>
      </c>
    </row>
    <row r="4">
      <c r="A4" s="2" t="s">
        <v>11</v>
      </c>
      <c r="B4" s="3">
        <v>3.142</v>
      </c>
      <c r="C4" s="3">
        <v>3.142</v>
      </c>
      <c r="D4" s="3">
        <v>3.142</v>
      </c>
      <c r="E4" s="3">
        <v>3.142</v>
      </c>
      <c r="F4" s="3">
        <v>2.498</v>
      </c>
      <c r="G4" s="3">
        <v>2.367</v>
      </c>
      <c r="H4" s="3">
        <v>3.142</v>
      </c>
      <c r="I4" s="3">
        <v>3.142</v>
      </c>
      <c r="J4" s="3">
        <v>3.142</v>
      </c>
      <c r="K4" s="3">
        <v>3.142</v>
      </c>
    </row>
    <row r="5">
      <c r="A5" s="2" t="s">
        <v>12</v>
      </c>
      <c r="B5" s="3">
        <v>2.498</v>
      </c>
      <c r="C5" s="3">
        <v>2.367</v>
      </c>
      <c r="D5" s="3">
        <v>3.142</v>
      </c>
      <c r="E5" s="3">
        <v>3.142</v>
      </c>
      <c r="F5" s="3">
        <v>2.498</v>
      </c>
      <c r="G5" s="3">
        <v>2.367</v>
      </c>
      <c r="H5" s="3">
        <v>3.142</v>
      </c>
      <c r="I5" s="3">
        <v>3.142</v>
      </c>
      <c r="J5" s="3">
        <v>3.142</v>
      </c>
      <c r="K5" s="3">
        <v>3.142</v>
      </c>
    </row>
  </sheetData>
  <drawing r:id="rId1"/>
</worksheet>
</file>